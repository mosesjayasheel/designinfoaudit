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corecard" sheetId="1" state="visible" r:id="rId3"/>
    <sheet name="Finding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<sst xmlns="http://schemas.openxmlformats.org/spreadsheetml/2006/main" count="71" uniqueCount="49">
  <si>
    <t xml:space="preserve">Accessibility audit scorecard: designinfo.in (home page)</t>
  </si>
  <si>
    <t xml:space="preserve">All figures calculate from the Findings sheet.</t>
  </si>
  <si>
    <t xml:space="preserve">Result</t>
  </si>
  <si>
    <t xml:space="preserve">Items</t>
  </si>
  <si>
    <t xml:space="preserve">Instances</t>
  </si>
  <si>
    <t xml:space="preserve">Failure (WCAG)</t>
  </si>
  <si>
    <t xml:space="preserve">Best practice</t>
  </si>
  <si>
    <t xml:space="preserve">Pass</t>
  </si>
  <si>
    <t xml:space="preserve">Total</t>
  </si>
  <si>
    <t xml:space="preserve">Instances by source</t>
  </si>
  <si>
    <t xml:space="preserve">Found by axe (automated)</t>
  </si>
  <si>
    <t xml:space="preserve">Found manually</t>
  </si>
  <si>
    <t xml:space="preserve">Check: axe reported 96 instances in total; the axe row above should equal 96.</t>
  </si>
  <si>
    <t xml:space="preserve">#</t>
  </si>
  <si>
    <t xml:space="preserve">Item</t>
  </si>
  <si>
    <t xml:space="preserve">WCAG criterion / type</t>
  </si>
  <si>
    <t xml:space="preserve">Found by</t>
  </si>
  <si>
    <t xml:space="preserve">Notes and recommended fix</t>
  </si>
  <si>
    <t xml:space="preserve">Insufficient color contrast</t>
  </si>
  <si>
    <t xml:space="preserve">1.4.3 (AA)</t>
  </si>
  <si>
    <t xml:space="preserve">axe</t>
  </si>
  <si>
    <t xml:space="preserve">Example: #7a7a7a on #ffffff = 4.29:1, needs 4.5:1. Darken the shared grey (e.g. #757575 or darker).</t>
  </si>
  <si>
    <t xml:space="preserve">Links without discernible text</t>
  </si>
  <si>
    <t xml:space="preserve">2.4.4, 4.1.2 (A)</t>
  </si>
  <si>
    <t xml:space="preserve">Image-only links have an empty accessible name. Add alt text, merge with the caption link, or hide the duplicate.</t>
  </si>
  <si>
    <t xml:space="preserve">WhatsApp chat button has no accessible name</t>
  </si>
  <si>
    <t xml:space="preserve">4.1.2 (A)</t>
  </si>
  <si>
    <t xml:space="preserve">NVDA (manual)</t>
  </si>
  <si>
    <t xml:space="preserve">NVDA announces only 'button'. Remove role=button and add aria-label='Chat on WhatsApp'. axe did not flag it.</t>
  </si>
  <si>
    <t xml:space="preserve">Heading levels skip (h6 used for feature titles)</t>
  </si>
  <si>
    <t xml:space="preserve">Use heading levels in order and style with CSS.</t>
  </si>
  <si>
    <t xml:space="preserve">Landmarks not uniquely labelled</t>
  </si>
  <si>
    <t xml:space="preserve">Give each nav a distinct aria-label, e.g. 'Footer - Photography'.</t>
  </si>
  <si>
    <t xml:space="preserve">No level-one heading</t>
  </si>
  <si>
    <t xml:space="preserve">Mark up the main page title as an h1.</t>
  </si>
  <si>
    <t xml:space="preserve">Resize text at 200%</t>
  </si>
  <si>
    <t xml:space="preserve">1.4.4 (AA)</t>
  </si>
  <si>
    <t xml:space="preserve">Zoom (manual)</t>
  </si>
  <si>
    <t xml:space="preserve">Text readable, nothing cut off or hidden, all controls work.</t>
  </si>
  <si>
    <t xml:space="preserve">Reflow at 400%</t>
  </si>
  <si>
    <t xml:space="preserve">1.4.10 (AA)</t>
  </si>
  <si>
    <t xml:space="preserve">Single column, vertical scroll only; nav collapses into a hamburger menu with all items reachable.</t>
  </si>
  <si>
    <t xml:space="preserve">Hamburger menu button: name, role and state</t>
  </si>
  <si>
    <t xml:space="preserve">Announced as menu toggle button, collapsed; announces expanded when opened.</t>
  </si>
  <si>
    <t xml:space="preserve">Hamburger menu items reachable by keyboard</t>
  </si>
  <si>
    <t xml:space="preserve">2.1.1, 2.4.7 (A, AA)</t>
  </si>
  <si>
    <t xml:space="preserve">Keyboard + NVDA (manual)</t>
  </si>
  <si>
    <t xml:space="preserve">Tab moves focus onto the items with a visible outline; NVDA reads them.</t>
  </si>
  <si>
    <t xml:space="preserve">Source: axe DevTools scan (axe-core 4.13.0, home page of designinfo.in) and manual zoom, keyboard and NVDA checks by the user, 12 Oct 2026. Instance counts are axe element counts.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</si>
</sst>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8D7DA"/>
        <bgColor rgb="FFFFF3CD"/>
      </patternFill>
    </fill>
    <fill>
      <patternFill patternType="solid">
        <fgColor rgb="FFFFF3CD"/>
        <bgColor rgb="FFFFFFFF"/>
      </patternFill>
    </fill>
    <fill>
      <patternFill patternType="solid">
        <fgColor rgb="FFD4EDDA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0"/>
    <col collapsed="false" customWidth="true" hidden="false" outlineLevel="0" max="3" min="3" style="0" width="12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COUNTIF(Findings!$B$2:$B$11,A5)</f>
        <v>3</v>
      </c>
      <c r="C5" s="5" t="n">
        <f aca="false">SUMIF(Findings!$B$2:$B$11,A5,Findings!$D$2:$D$11)</f>
        <v>94</v>
      </c>
    </row>
    <row r="6" customFormat="false" ht="15" hidden="false" customHeight="false" outlineLevel="0" collapsed="false">
      <c r="A6" s="6" t="s">
        <v>6</v>
      </c>
      <c r="B6" s="5" t="n">
        <f aca="false">COUNTIF(Findings!$B$2:$B$11,A6)</f>
        <v>3</v>
      </c>
      <c r="C6" s="5" t="n">
        <f aca="false">SUMIF(Findings!$B$2:$B$11,A6,Findings!$D$2:$D$11)</f>
        <v>3</v>
      </c>
    </row>
    <row r="7" customFormat="false" ht="15" hidden="false" customHeight="false" outlineLevel="0" collapsed="false">
      <c r="A7" s="7" t="s">
        <v>7</v>
      </c>
      <c r="B7" s="5" t="n">
        <f aca="false">COUNTIF(Findings!$B$2:$B$11,A7)</f>
        <v>4</v>
      </c>
      <c r="C7" s="5" t="n">
        <f aca="false">SUMIF(Findings!$B$2:$B$11,A7,Findings!$D$2:$D$11)</f>
        <v>0</v>
      </c>
    </row>
    <row r="8" customFormat="false" ht="15" hidden="false" customHeight="false" outlineLevel="0" collapsed="false">
      <c r="A8" s="8" t="s">
        <v>8</v>
      </c>
      <c r="B8" s="9" t="n">
        <f aca="false">SUM(B5:B7)</f>
        <v>10</v>
      </c>
      <c r="C8" s="9" t="n">
        <f aca="false">SUM(C5:C7)</f>
        <v>97</v>
      </c>
    </row>
    <row r="10" customFormat="false" ht="15" hidden="false" customHeight="false" outlineLevel="0" collapsed="false">
      <c r="A10" s="10" t="s">
        <v>9</v>
      </c>
    </row>
    <row r="11" customFormat="false" ht="15" hidden="false" customHeight="false" outlineLevel="0" collapsed="false">
      <c r="A11" s="11" t="s">
        <v>10</v>
      </c>
      <c r="B11" s="11"/>
      <c r="C11" s="5" t="n">
        <f aca="false">SUMIF(Findings!$F$2:$F$11,"axe",Findings!$D$2:$D$11)</f>
        <v>96</v>
      </c>
    </row>
    <row r="12" customFormat="false" ht="15" hidden="false" customHeight="false" outlineLevel="0" collapsed="false">
      <c r="A12" s="11" t="s">
        <v>11</v>
      </c>
      <c r="B12" s="11"/>
      <c r="C12" s="5" t="n">
        <f aca="false">SUMIF(Findings!$F$2:$F$11,"*manual*",Findings!$D$2:$D$11)</f>
        <v>1</v>
      </c>
    </row>
    <row r="14" customFormat="false" ht="15" hidden="false" customHeight="false" outlineLevel="0" collapsed="false">
      <c r="A14" s="2" t="s">
        <v>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42"/>
    <col collapsed="false" customWidth="true" hidden="false" outlineLevel="0" max="4" min="4" style="0" width="11"/>
    <col collapsed="false" customWidth="true" hidden="false" outlineLevel="0" max="5" min="5" style="0" width="22"/>
    <col collapsed="false" customWidth="true" hidden="false" outlineLevel="0" max="6" min="6" style="0" width="24"/>
    <col collapsed="false" customWidth="true" hidden="false" outlineLevel="0" max="7" min="7" style="0" width="70"/>
  </cols>
  <sheetData>
    <row r="1" customFormat="false" ht="15" hidden="false" customHeight="false" outlineLevel="0" collapsed="false">
      <c r="A1" s="12" t="s">
        <v>13</v>
      </c>
      <c r="B1" s="12" t="s">
        <v>2</v>
      </c>
      <c r="C1" s="12" t="s">
        <v>14</v>
      </c>
      <c r="D1" s="12" t="s">
        <v>4</v>
      </c>
      <c r="E1" s="12" t="s">
        <v>15</v>
      </c>
      <c r="F1" s="12" t="s">
        <v>16</v>
      </c>
      <c r="G1" s="12" t="s">
        <v>17</v>
      </c>
    </row>
    <row r="2" customFormat="false" ht="23.85" hidden="false" customHeight="false" outlineLevel="0" collapsed="false">
      <c r="A2" s="13" t="n">
        <v>1</v>
      </c>
      <c r="B2" s="14" t="s">
        <v>5</v>
      </c>
      <c r="C2" s="15" t="s">
        <v>18</v>
      </c>
      <c r="D2" s="13" t="n">
        <v>66</v>
      </c>
      <c r="E2" s="15" t="s">
        <v>19</v>
      </c>
      <c r="F2" s="15" t="s">
        <v>20</v>
      </c>
      <c r="G2" s="15" t="s">
        <v>21</v>
      </c>
    </row>
    <row r="3" customFormat="false" ht="23.85" hidden="false" customHeight="false" outlineLevel="0" collapsed="false">
      <c r="A3" s="13" t="n">
        <v>2</v>
      </c>
      <c r="B3" s="14" t="s">
        <v>5</v>
      </c>
      <c r="C3" s="15" t="s">
        <v>22</v>
      </c>
      <c r="D3" s="13" t="n">
        <v>27</v>
      </c>
      <c r="E3" s="15" t="s">
        <v>23</v>
      </c>
      <c r="F3" s="15" t="s">
        <v>20</v>
      </c>
      <c r="G3" s="15" t="s">
        <v>24</v>
      </c>
    </row>
    <row r="4" customFormat="false" ht="23.85" hidden="false" customHeight="false" outlineLevel="0" collapsed="false">
      <c r="A4" s="13" t="n">
        <v>3</v>
      </c>
      <c r="B4" s="14" t="s">
        <v>5</v>
      </c>
      <c r="C4" s="15" t="s">
        <v>25</v>
      </c>
      <c r="D4" s="13" t="n">
        <v>1</v>
      </c>
      <c r="E4" s="15" t="s">
        <v>26</v>
      </c>
      <c r="F4" s="15" t="s">
        <v>27</v>
      </c>
      <c r="G4" s="15" t="s">
        <v>28</v>
      </c>
    </row>
    <row r="5" customFormat="false" ht="15" hidden="false" customHeight="false" outlineLevel="0" collapsed="false">
      <c r="A5" s="13" t="n">
        <v>4</v>
      </c>
      <c r="B5" s="16" t="s">
        <v>6</v>
      </c>
      <c r="C5" s="15" t="s">
        <v>29</v>
      </c>
      <c r="D5" s="13" t="n">
        <v>1</v>
      </c>
      <c r="E5" s="15" t="s">
        <v>6</v>
      </c>
      <c r="F5" s="15" t="s">
        <v>20</v>
      </c>
      <c r="G5" s="15" t="s">
        <v>30</v>
      </c>
    </row>
    <row r="6" customFormat="false" ht="15" hidden="false" customHeight="false" outlineLevel="0" collapsed="false">
      <c r="A6" s="13" t="n">
        <v>5</v>
      </c>
      <c r="B6" s="16" t="s">
        <v>6</v>
      </c>
      <c r="C6" s="15" t="s">
        <v>31</v>
      </c>
      <c r="D6" s="13" t="n">
        <v>1</v>
      </c>
      <c r="E6" s="15" t="s">
        <v>6</v>
      </c>
      <c r="F6" s="15" t="s">
        <v>20</v>
      </c>
      <c r="G6" s="15" t="s">
        <v>32</v>
      </c>
    </row>
    <row r="7" customFormat="false" ht="15" hidden="false" customHeight="false" outlineLevel="0" collapsed="false">
      <c r="A7" s="13" t="n">
        <v>6</v>
      </c>
      <c r="B7" s="16" t="s">
        <v>6</v>
      </c>
      <c r="C7" s="15" t="s">
        <v>33</v>
      </c>
      <c r="D7" s="13" t="n">
        <v>1</v>
      </c>
      <c r="E7" s="15" t="s">
        <v>6</v>
      </c>
      <c r="F7" s="15" t="s">
        <v>20</v>
      </c>
      <c r="G7" s="15" t="s">
        <v>34</v>
      </c>
    </row>
    <row r="8" customFormat="false" ht="15" hidden="false" customHeight="false" outlineLevel="0" collapsed="false">
      <c r="A8" s="13" t="n">
        <v>7</v>
      </c>
      <c r="B8" s="17" t="s">
        <v>7</v>
      </c>
      <c r="C8" s="15" t="s">
        <v>35</v>
      </c>
      <c r="D8" s="13"/>
      <c r="E8" s="15" t="s">
        <v>36</v>
      </c>
      <c r="F8" s="15" t="s">
        <v>37</v>
      </c>
      <c r="G8" s="15" t="s">
        <v>38</v>
      </c>
    </row>
    <row r="9" customFormat="false" ht="23.85" hidden="false" customHeight="false" outlineLevel="0" collapsed="false">
      <c r="A9" s="13" t="n">
        <v>8</v>
      </c>
      <c r="B9" s="17" t="s">
        <v>7</v>
      </c>
      <c r="C9" s="15" t="s">
        <v>39</v>
      </c>
      <c r="D9" s="13"/>
      <c r="E9" s="15" t="s">
        <v>40</v>
      </c>
      <c r="F9" s="15" t="s">
        <v>37</v>
      </c>
      <c r="G9" s="15" t="s">
        <v>41</v>
      </c>
    </row>
    <row r="10" customFormat="false" ht="15" hidden="false" customHeight="false" outlineLevel="0" collapsed="false">
      <c r="A10" s="13" t="n">
        <v>9</v>
      </c>
      <c r="B10" s="17" t="s">
        <v>7</v>
      </c>
      <c r="C10" s="15" t="s">
        <v>42</v>
      </c>
      <c r="D10" s="13"/>
      <c r="E10" s="15" t="s">
        <v>26</v>
      </c>
      <c r="F10" s="15" t="s">
        <v>27</v>
      </c>
      <c r="G10" s="15" t="s">
        <v>43</v>
      </c>
    </row>
    <row r="11" customFormat="false" ht="15" hidden="false" customHeight="false" outlineLevel="0" collapsed="false">
      <c r="A11" s="13" t="n">
        <v>10</v>
      </c>
      <c r="B11" s="17" t="s">
        <v>7</v>
      </c>
      <c r="C11" s="15" t="s">
        <v>44</v>
      </c>
      <c r="D11" s="13"/>
      <c r="E11" s="15" t="s">
        <v>45</v>
      </c>
      <c r="F11" s="15" t="s">
        <v>46</v>
      </c>
      <c r="G11" s="15" t="s">
        <v>47</v>
      </c>
    </row>
    <row r="13" customFormat="false" ht="15" hidden="false" customHeight="false" outlineLevel="0" collapsed="false">
      <c r="A13" s="2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2026-10-12T09:16:45Z</dcterms:created>
  <dc:creator>openpyxl</dc:creator>
  <dc:description/>
  <dc:language>en-US</dc:language>
  <cp:lastModifiedBy/>
  <dcterms:modified xsi:type="dcterms:W3CDTF">2026-10-12T09:16:45Z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